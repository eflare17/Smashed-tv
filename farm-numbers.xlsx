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Water" sheetId="2" state="visible" r:id="rId4"/>
    <sheet name="Fertiliser" sheetId="3" state="visible" r:id="rId5"/>
    <sheet name="Strains" sheetId="4" state="visible" r:id="rId6"/>
    <sheet name="Grow Calculator" sheetId="5" state="visible" r:id="rId7"/>
    <sheet name="Breeding" sheetId="6" state="visible" r:id="rId8"/>
    <sheet name="Upgrad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Not decided yet in the plan: a first guess.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9" authorId="0">
      <text>
        <r>
          <rPr>
            <sz val="10"/>
            <rFont val="Arial"/>
            <family val="2"/>
          </rPr>
          <t xml:space="preserve">Not decided yet in the plan: a first guess.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A first guess: tune to taste.</t>
        </r>
      </text>
    </comment>
    <comment ref="B7" authorId="0">
      <text>
        <r>
          <rPr>
            <sz val="10"/>
            <rFont val="Arial"/>
            <family val="2"/>
          </rPr>
          <t xml:space="preserve">A first guess: tune to taste.</t>
        </r>
      </text>
    </comment>
    <comment ref="B11" authorId="0">
      <text>
        <r>
          <rPr>
            <sz val="10"/>
            <rFont val="Arial"/>
            <family val="2"/>
          </rPr>
          <t xml:space="preserve">Not decided in the plan yet: a first guess.</t>
        </r>
      </text>
    </comment>
    <comment ref="B12" authorId="0">
      <text>
        <r>
          <rPr>
            <sz val="10"/>
            <rFont val="Arial"/>
            <family val="2"/>
          </rPr>
          <t xml:space="preserve">Not decided in the plan yet: a first guess.</t>
        </r>
      </text>
    </comment>
  </commentList>
</comments>
</file>

<file path=xl/sharedStrings.xml><?xml version="1.0" encoding="utf-8"?>
<sst xmlns="http://schemas.openxmlformats.org/spreadsheetml/2006/main" count="156" uniqueCount="116">
  <si>
    <t xml:space="preserve">Smashed TV: speeding up the crops</t>
  </si>
  <si>
    <t xml:space="preserve">Plants grow faster when they are watered and fertilised, on top of the boost from every wave you clear.</t>
  </si>
  <si>
    <t xml:space="preserve">This workbook holds the numbers and works out grow times and profit for every strain.</t>
  </si>
  <si>
    <t xml:space="preserve">HOW TO USE</t>
  </si>
  <si>
    <t xml:space="preserve">Yellow cells with blue text are the numbers to tweak. Everything else is worked out from them.</t>
  </si>
  <si>
    <t xml:space="preserve">Water: how fast a plant grows watered, dry or wilted.</t>
  </si>
  <si>
    <t xml:space="preserve">Fertiliser: price and boosts for each bag.</t>
  </si>
  <si>
    <t xml:space="preserve">Strains: each strain's sell price, grow time, buds and potency.</t>
  </si>
  <si>
    <t xml:space="preserve">Grow Calculator: grow time and profit per plant for each strain, with each kind of care.</t>
  </si>
  <si>
    <t xml:space="preserve">Breeding: which two seeds make which, and what they cost to get.</t>
  </si>
  <si>
    <t xml:space="preserve">Upgrades: the later upgrades (prices still to decide).</t>
  </si>
  <si>
    <t xml:space="preserve">All numbers are a first go from the farm plan (FARM.md in the game's files), not final.</t>
  </si>
  <si>
    <t xml:space="preserve">Water</t>
  </si>
  <si>
    <t xml:space="preserve">State</t>
  </si>
  <si>
    <t xml:space="preserve">Grow speed</t>
  </si>
  <si>
    <t xml:space="preserve">Buds lost</t>
  </si>
  <si>
    <t xml:space="preserve">How it happens</t>
  </si>
  <si>
    <t xml:space="preserve">Watered</t>
  </si>
  <si>
    <t xml:space="preserve">Water it at the tank with the watering can (or the sprinkler in stage 2). Dark soil and a drop icon show it.</t>
  </si>
  <si>
    <t xml:space="preserve">Dry</t>
  </si>
  <si>
    <t xml:space="preserve">Some time after watering it dries out and droops.</t>
  </si>
  <si>
    <t xml:space="preserve">Wilted</t>
  </si>
  <si>
    <t xml:space="preserve">Left dry too long: it loses a bud.</t>
  </si>
  <si>
    <t xml:space="preserve">Minutes a watering lasts</t>
  </si>
  <si>
    <t xml:space="preserve">Fertiliser (one bag per plant, per harvest; bought at the shed)</t>
  </si>
  <si>
    <t xml:space="preserve">Fertiliser</t>
  </si>
  <si>
    <t xml:space="preserve">Price ($)</t>
  </si>
  <si>
    <t xml:space="preserve">Grows faster by</t>
  </si>
  <si>
    <t xml:space="preserve">Extra buds</t>
  </si>
  <si>
    <t xml:space="preserve">Extra potency</t>
  </si>
  <si>
    <t xml:space="preserve">None</t>
  </si>
  <si>
    <t xml:space="preserve">Basic</t>
  </si>
  <si>
    <t xml:space="preserve">Premium</t>
  </si>
  <si>
    <t xml:space="preserve">Super Grow</t>
  </si>
  <si>
    <t xml:space="preserve">Each extra potency point adds this much to the sell price:</t>
  </si>
  <si>
    <t xml:space="preserve">Strains</t>
  </si>
  <si>
    <t xml:space="preserve">Strain</t>
  </si>
  <si>
    <t xml:space="preserve">Type</t>
  </si>
  <si>
    <t xml:space="preserve">Tier</t>
  </si>
  <si>
    <t xml:space="preserve">Potency (/10)</t>
  </si>
  <si>
    <t xml:space="preserve">Sells for ($ a plant)</t>
  </si>
  <si>
    <t xml:space="preserve">Grows in (min, on its own)</t>
  </si>
  <si>
    <t xml:space="preserve">Or waves cleared</t>
  </si>
  <si>
    <t xml:space="preserve">Buds per plant</t>
  </si>
  <si>
    <t xml:space="preserve">Effect</t>
  </si>
  <si>
    <t xml:space="preserve">Northern Lights</t>
  </si>
  <si>
    <t xml:space="preserve">Indica</t>
  </si>
  <si>
    <t xml:space="preserve">Common</t>
  </si>
  <si>
    <t xml:space="preserve">Heals 2 health</t>
  </si>
  <si>
    <t xml:space="preserve">Sour Diesel</t>
  </si>
  <si>
    <t xml:space="preserve">Sativa</t>
  </si>
  <si>
    <t xml:space="preserve">Uncommon</t>
  </si>
  <si>
    <t xml:space="preserve">+25% run speed, +25% fire rate</t>
  </si>
  <si>
    <t xml:space="preserve">Granddaddy Purple</t>
  </si>
  <si>
    <t xml:space="preserve">40% less damage, 15% slower</t>
  </si>
  <si>
    <t xml:space="preserve">Blue Dream</t>
  </si>
  <si>
    <t xml:space="preserve">Hybrid</t>
  </si>
  <si>
    <t xml:space="preserve">Rare</t>
  </si>
  <si>
    <t xml:space="preserve">Enemies at 70% speed</t>
  </si>
  <si>
    <t xml:space="preserve">Acapulco Gold</t>
  </si>
  <si>
    <t xml:space="preserve">Double cash from kills</t>
  </si>
  <si>
    <t xml:space="preserve">White Widow</t>
  </si>
  <si>
    <t xml:space="preserve">Legendary</t>
  </si>
  <si>
    <t xml:space="preserve">+60% damage, trippy screen</t>
  </si>
  <si>
    <t xml:space="preserve">Grow Calculator: one plant, watered unless it says dry</t>
  </si>
  <si>
    <t xml:space="preserve">GROW TIME (minutes, on its own, before the wave boost)</t>
  </si>
  <si>
    <t xml:space="preserve">Dry, no fertiliser</t>
  </si>
  <si>
    <t xml:space="preserve">Watered, no fertiliser</t>
  </si>
  <si>
    <t xml:space="preserve">Watered + Basic</t>
  </si>
  <si>
    <t xml:space="preserve">Watered + Premium</t>
  </si>
  <si>
    <t xml:space="preserve">Watered + Super Grow</t>
  </si>
  <si>
    <t xml:space="preserve">PROFIT PER PLANT ($, sell price after fertiliser buds and potency, minus the bag)</t>
  </si>
  <si>
    <t xml:space="preserve">PROFIT PER MINUTE OF GROWING ($)</t>
  </si>
  <si>
    <t xml:space="preserve">Notes</t>
  </si>
  <si>
    <t xml:space="preserve">A dry plant still uses the "Dry" speed; a wilted one also loses a bud (not counted here).</t>
  </si>
  <si>
    <t xml:space="preserve">Every wave you clear adds on top: a strain grows in the "Or waves cleared" count on the Strains tab even without waiting.</t>
  </si>
  <si>
    <t xml:space="preserve">Extra potency adds to the sell price by the % on the Fertiliser tab (a first guess).</t>
  </si>
  <si>
    <t xml:space="preserve">Breeding: cross two seeds at the breeding table in the grow house</t>
  </si>
  <si>
    <t xml:space="preserve">Two seeds of one tier make one seed of the next tier. Which two you cross decides what you get.</t>
  </si>
  <si>
    <t xml:space="preserve">SETTINGS</t>
  </si>
  <si>
    <t xml:space="preserve">Waves until the new seed is ready</t>
  </si>
  <si>
    <t xml:space="preserve">Lucky chance (jumps a tier, or a special frosty seed)</t>
  </si>
  <si>
    <t xml:space="preserve">Frosty seeds sell for this much more</t>
  </si>
  <si>
    <t xml:space="preserve">SEEDS YOU CAN BUY (at the shed)</t>
  </si>
  <si>
    <t xml:space="preserve">Seed</t>
  </si>
  <si>
    <t xml:space="preserve">RECIPES</t>
  </si>
  <si>
    <t xml:space="preserve">Parent seed 1</t>
  </si>
  <si>
    <t xml:space="preserve">Parent seed 2</t>
  </si>
  <si>
    <t xml:space="preserve">Makes</t>
  </si>
  <si>
    <t xml:space="preserve">Why</t>
  </si>
  <si>
    <t xml:space="preserve">Seeds bought to make one ($)</t>
  </si>
  <si>
    <t xml:space="preserve">Indica + indica stays indica</t>
  </si>
  <si>
    <t xml:space="preserve">Sativa + sativa stays sativa</t>
  </si>
  <si>
    <t xml:space="preserve">Indica + sativa makes a hybrid</t>
  </si>
  <si>
    <t xml:space="preserve">The two rares make the legendary</t>
  </si>
  <si>
    <t xml:space="preserve">HOW MANY NORTHERN LIGHTS SEEDS A STRAIN TAKES (going the long way, all from the cheapest seed)</t>
  </si>
  <si>
    <t xml:space="preserve">Northern Lights seeds</t>
  </si>
  <si>
    <t xml:space="preserve">Rare (2 uncommons)</t>
  </si>
  <si>
    <t xml:space="preserve">White Widow (2 rares)</t>
  </si>
  <si>
    <t xml:space="preserve">The "Seeds bought" column adds up what the parents cost at the shed; crossed seeds are free apart from their parents.</t>
  </si>
  <si>
    <t xml:space="preserve">A frosty seed grows the same strain, but sells for more by the % above.</t>
  </si>
  <si>
    <t xml:space="preserve">More recipes can be added later as new strains come in.</t>
  </si>
  <si>
    <t xml:space="preserve">Upgrades</t>
  </si>
  <si>
    <t xml:space="preserve">Upgrade</t>
  </si>
  <si>
    <t xml:space="preserve">Where</t>
  </si>
  <si>
    <t xml:space="preserve">What it does</t>
  </si>
  <si>
    <t xml:space="preserve">Sprinkler</t>
  </si>
  <si>
    <t xml:space="preserve">Neighbour's block (stage 2)</t>
  </si>
  <si>
    <t xml:space="preserve">Waters the plots for you, so they never dry out.</t>
  </si>
  <si>
    <t xml:space="preserve">Grow lights</t>
  </si>
  <si>
    <t xml:space="preserve">Grow house (stage 2)</t>
  </si>
  <si>
    <t xml:space="preserve">Plants keep growing between waves.</t>
  </si>
  <si>
    <t xml:space="preserve">Compost bin</t>
  </si>
  <si>
    <t xml:space="preserve">Backyard</t>
  </si>
  <si>
    <t xml:space="preserve">Turns old plants into free Basic fertiliser.</t>
  </si>
  <si>
    <t xml:space="preserve">Prices not decided yet: fill them in.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</si>
</sst>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"/>
    <numFmt numFmtId="167" formatCode="\$#,##0;&quot;($&quot;#,##0\);\-"/>
    <numFmt numFmtId="168" formatCode="\$#,##0"/>
    <numFmt numFmtId="169" formatCode="0.0"/>
    <numFmt numFmtId="170" formatCode="\$#,##0.00"/>
    <numFmt numFmtId="171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B2A4F"/>
        <bgColor rgb="FF333399"/>
      </patternFill>
    </fill>
    <fill>
      <patternFill patternType="solid">
        <fgColor rgb="FFFFF2A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2A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4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90"/>
  </cols>
  <sheetData>
    <row r="1" customFormat="false" ht="17.25" hidden="false" customHeight="true" outlineLevel="0" collapsed="false">
      <c r="A1" s="2" t="s">
        <v>12</v>
      </c>
    </row>
    <row r="3" customFormat="false" ht="15" hidden="false" customHeight="true" outlineLevel="0" collapsed="false">
      <c r="A3" s="5" t="s">
        <v>13</v>
      </c>
      <c r="B3" s="5" t="s">
        <v>14</v>
      </c>
      <c r="C3" s="5" t="s">
        <v>15</v>
      </c>
      <c r="D3" s="5" t="s">
        <v>16</v>
      </c>
    </row>
    <row r="4" customFormat="false" ht="15" hidden="false" customHeight="true" outlineLevel="0" collapsed="false">
      <c r="A4" s="6" t="s">
        <v>17</v>
      </c>
      <c r="B4" s="7" t="n">
        <v>1</v>
      </c>
      <c r="C4" s="8" t="n">
        <v>0</v>
      </c>
      <c r="D4" s="9" t="s">
        <v>18</v>
      </c>
    </row>
    <row r="5" customFormat="false" ht="15" hidden="false" customHeight="true" outlineLevel="0" collapsed="false">
      <c r="A5" s="6" t="s">
        <v>19</v>
      </c>
      <c r="B5" s="7" t="n">
        <v>0.5</v>
      </c>
      <c r="C5" s="8" t="n">
        <v>0</v>
      </c>
      <c r="D5" s="9" t="s">
        <v>20</v>
      </c>
    </row>
    <row r="6" customFormat="false" ht="15" hidden="false" customHeight="true" outlineLevel="0" collapsed="false">
      <c r="A6" s="6" t="s">
        <v>21</v>
      </c>
      <c r="B6" s="7" t="n">
        <v>0.5</v>
      </c>
      <c r="C6" s="8" t="n">
        <v>1</v>
      </c>
      <c r="D6" s="9" t="s">
        <v>22</v>
      </c>
    </row>
    <row r="8" customFormat="false" ht="15" hidden="false" customHeight="true" outlineLevel="0" collapsed="false">
      <c r="A8" s="6" t="s">
        <v>23</v>
      </c>
      <c r="B8" s="8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4"/>
  </cols>
  <sheetData>
    <row r="1" customFormat="false" ht="17.25" hidden="false" customHeight="true" outlineLevel="0" collapsed="false">
      <c r="A1" s="2" t="s">
        <v>24</v>
      </c>
    </row>
    <row r="3" customFormat="false" ht="26.25" hidden="false" customHeight="true" outlineLevel="0" collapsed="false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</row>
    <row r="4" customFormat="false" ht="15" hidden="false" customHeight="true" outlineLevel="0" collapsed="false">
      <c r="A4" s="6" t="s">
        <v>30</v>
      </c>
      <c r="B4" s="10" t="n">
        <v>0</v>
      </c>
      <c r="C4" s="7" t="n">
        <v>0</v>
      </c>
      <c r="D4" s="8" t="n">
        <v>0</v>
      </c>
      <c r="E4" s="8" t="n">
        <v>0</v>
      </c>
    </row>
    <row r="5" customFormat="false" ht="15" hidden="false" customHeight="true" outlineLevel="0" collapsed="false">
      <c r="A5" s="6" t="s">
        <v>31</v>
      </c>
      <c r="B5" s="10" t="n">
        <v>10</v>
      </c>
      <c r="C5" s="7" t="n">
        <v>0.25</v>
      </c>
      <c r="D5" s="8" t="n">
        <v>0</v>
      </c>
      <c r="E5" s="8" t="n">
        <v>0</v>
      </c>
    </row>
    <row r="6" customFormat="false" ht="15" hidden="false" customHeight="true" outlineLevel="0" collapsed="false">
      <c r="A6" s="6" t="s">
        <v>32</v>
      </c>
      <c r="B6" s="10" t="n">
        <v>30</v>
      </c>
      <c r="C6" s="7" t="n">
        <v>0.5</v>
      </c>
      <c r="D6" s="8" t="n">
        <v>1</v>
      </c>
      <c r="E6" s="8" t="n">
        <v>0</v>
      </c>
    </row>
    <row r="7" customFormat="false" ht="15" hidden="false" customHeight="true" outlineLevel="0" collapsed="false">
      <c r="A7" s="6" t="s">
        <v>33</v>
      </c>
      <c r="B7" s="10" t="n">
        <v>80</v>
      </c>
      <c r="C7" s="7" t="n">
        <v>1</v>
      </c>
      <c r="D7" s="8" t="n">
        <v>1</v>
      </c>
      <c r="E7" s="8" t="n">
        <v>1</v>
      </c>
    </row>
    <row r="9" customFormat="false" ht="15" hidden="false" customHeight="true" outlineLevel="0" collapsed="false">
      <c r="A9" s="4" t="s">
        <v>34</v>
      </c>
      <c r="E9" s="7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34"/>
  </cols>
  <sheetData>
    <row r="1" customFormat="false" ht="17.25" hidden="false" customHeight="true" outlineLevel="0" collapsed="false">
      <c r="A1" s="2" t="s">
        <v>35</v>
      </c>
    </row>
    <row r="3" customFormat="false" ht="26.25" hidden="false" customHeight="true" outlineLevel="0" collapsed="false">
      <c r="A3" s="5" t="s">
        <v>36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43</v>
      </c>
      <c r="I3" s="5" t="s">
        <v>44</v>
      </c>
    </row>
    <row r="4" customFormat="false" ht="15" hidden="false" customHeight="true" outlineLevel="0" collapsed="false">
      <c r="A4" s="6" t="s">
        <v>45</v>
      </c>
      <c r="B4" s="9" t="s">
        <v>46</v>
      </c>
      <c r="C4" s="9" t="s">
        <v>47</v>
      </c>
      <c r="D4" s="8" t="n">
        <v>4</v>
      </c>
      <c r="E4" s="11" t="n">
        <v>40</v>
      </c>
      <c r="F4" s="8" t="n">
        <v>4</v>
      </c>
      <c r="G4" s="8" t="n">
        <v>2</v>
      </c>
      <c r="H4" s="8" t="n">
        <v>3</v>
      </c>
      <c r="I4" s="9" t="s">
        <v>48</v>
      </c>
    </row>
    <row r="5" customFormat="false" ht="15" hidden="false" customHeight="true" outlineLevel="0" collapsed="false">
      <c r="A5" s="6" t="s">
        <v>49</v>
      </c>
      <c r="B5" s="9" t="s">
        <v>50</v>
      </c>
      <c r="C5" s="9" t="s">
        <v>51</v>
      </c>
      <c r="D5" s="8" t="n">
        <v>6</v>
      </c>
      <c r="E5" s="11" t="n">
        <v>75</v>
      </c>
      <c r="F5" s="8" t="n">
        <v>6</v>
      </c>
      <c r="G5" s="8" t="n">
        <v>3</v>
      </c>
      <c r="H5" s="8" t="n">
        <v>3</v>
      </c>
      <c r="I5" s="9" t="s">
        <v>52</v>
      </c>
    </row>
    <row r="6" customFormat="false" ht="15" hidden="false" customHeight="true" outlineLevel="0" collapsed="false">
      <c r="A6" s="6" t="s">
        <v>53</v>
      </c>
      <c r="B6" s="9" t="s">
        <v>46</v>
      </c>
      <c r="C6" s="9" t="s">
        <v>51</v>
      </c>
      <c r="D6" s="8" t="n">
        <v>6</v>
      </c>
      <c r="E6" s="11" t="n">
        <v>80</v>
      </c>
      <c r="F6" s="8" t="n">
        <v>6</v>
      </c>
      <c r="G6" s="8" t="n">
        <v>3</v>
      </c>
      <c r="H6" s="8" t="n">
        <v>4</v>
      </c>
      <c r="I6" s="9" t="s">
        <v>54</v>
      </c>
    </row>
    <row r="7" customFormat="false" ht="15" hidden="false" customHeight="true" outlineLevel="0" collapsed="false">
      <c r="A7" s="6" t="s">
        <v>55</v>
      </c>
      <c r="B7" s="9" t="s">
        <v>56</v>
      </c>
      <c r="C7" s="9" t="s">
        <v>57</v>
      </c>
      <c r="D7" s="8" t="n">
        <v>7</v>
      </c>
      <c r="E7" s="11" t="n">
        <v>140</v>
      </c>
      <c r="F7" s="8" t="n">
        <v>9</v>
      </c>
      <c r="G7" s="8" t="n">
        <v>4</v>
      </c>
      <c r="H7" s="8" t="n">
        <v>3</v>
      </c>
      <c r="I7" s="9" t="s">
        <v>58</v>
      </c>
    </row>
    <row r="8" customFormat="false" ht="15" hidden="false" customHeight="true" outlineLevel="0" collapsed="false">
      <c r="A8" s="6" t="s">
        <v>59</v>
      </c>
      <c r="B8" s="9" t="s">
        <v>50</v>
      </c>
      <c r="C8" s="9" t="s">
        <v>57</v>
      </c>
      <c r="D8" s="8" t="n">
        <v>7</v>
      </c>
      <c r="E8" s="11" t="n">
        <v>150</v>
      </c>
      <c r="F8" s="8" t="n">
        <v>10</v>
      </c>
      <c r="G8" s="8" t="n">
        <v>4</v>
      </c>
      <c r="H8" s="8" t="n">
        <v>2</v>
      </c>
      <c r="I8" s="9" t="s">
        <v>60</v>
      </c>
    </row>
    <row r="9" customFormat="false" ht="15" hidden="false" customHeight="true" outlineLevel="0" collapsed="false">
      <c r="A9" s="6" t="s">
        <v>61</v>
      </c>
      <c r="B9" s="9" t="s">
        <v>56</v>
      </c>
      <c r="C9" s="9" t="s">
        <v>62</v>
      </c>
      <c r="D9" s="8" t="n">
        <v>9</v>
      </c>
      <c r="E9" s="11" t="n">
        <v>300</v>
      </c>
      <c r="F9" s="8" t="n">
        <v>15</v>
      </c>
      <c r="G9" s="8" t="n">
        <v>6</v>
      </c>
      <c r="H9" s="8" t="n">
        <v>2</v>
      </c>
      <c r="I9" s="9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2" t="s">
        <v>64</v>
      </c>
    </row>
    <row r="3" customFormat="false" ht="15" hidden="false" customHeight="true" outlineLevel="0" collapsed="false">
      <c r="A3" s="4" t="s">
        <v>65</v>
      </c>
    </row>
    <row r="4" customFormat="false" ht="31.5" hidden="false" customHeight="true" outlineLevel="0" collapsed="false">
      <c r="A4" s="5" t="s">
        <v>36</v>
      </c>
      <c r="B4" s="5" t="s">
        <v>66</v>
      </c>
      <c r="C4" s="5" t="s">
        <v>67</v>
      </c>
      <c r="D4" s="5" t="s">
        <v>68</v>
      </c>
      <c r="E4" s="5" t="s">
        <v>69</v>
      </c>
      <c r="F4" s="5" t="s">
        <v>70</v>
      </c>
    </row>
    <row r="5" customFormat="false" ht="15" hidden="false" customHeight="true" outlineLevel="0" collapsed="false">
      <c r="A5" s="6" t="str">
        <f aca="false">Strains!A4</f>
        <v>Northern Lights</v>
      </c>
      <c r="B5" s="12" t="n">
        <f aca="false">Strains!F4/(Water!$B$5*(1+Fertiliser!$C$4))</f>
        <v>8</v>
      </c>
      <c r="C5" s="12" t="n">
        <f aca="false">Strains!F4/(Water!$B$4*(1+Fertiliser!$C$4))</f>
        <v>4</v>
      </c>
      <c r="D5" s="12" t="n">
        <f aca="false">Strains!F4/(Water!$B$4*(1+Fertiliser!$C$5))</f>
        <v>3.2</v>
      </c>
      <c r="E5" s="12" t="n">
        <f aca="false">Strains!F4/(Water!$B$4*(1+Fertiliser!$C$6))</f>
        <v>2.66666666666667</v>
      </c>
      <c r="F5" s="12" t="n">
        <f aca="false">Strains!F4/(Water!$B$4*(1+Fertiliser!$C$7))</f>
        <v>2</v>
      </c>
    </row>
    <row r="6" customFormat="false" ht="15" hidden="false" customHeight="true" outlineLevel="0" collapsed="false">
      <c r="A6" s="6" t="str">
        <f aca="false">Strains!A5</f>
        <v>Sour Diesel</v>
      </c>
      <c r="B6" s="12" t="n">
        <f aca="false">Strains!F5/(Water!$B$5*(1+Fertiliser!$C$4))</f>
        <v>12</v>
      </c>
      <c r="C6" s="12" t="n">
        <f aca="false">Strains!F5/(Water!$B$4*(1+Fertiliser!$C$4))</f>
        <v>6</v>
      </c>
      <c r="D6" s="12" t="n">
        <f aca="false">Strains!F5/(Water!$B$4*(1+Fertiliser!$C$5))</f>
        <v>4.8</v>
      </c>
      <c r="E6" s="12" t="n">
        <f aca="false">Strains!F5/(Water!$B$4*(1+Fertiliser!$C$6))</f>
        <v>4</v>
      </c>
      <c r="F6" s="12" t="n">
        <f aca="false">Strains!F5/(Water!$B$4*(1+Fertiliser!$C$7))</f>
        <v>3</v>
      </c>
    </row>
    <row r="7" customFormat="false" ht="15" hidden="false" customHeight="true" outlineLevel="0" collapsed="false">
      <c r="A7" s="6" t="str">
        <f aca="false">Strains!A6</f>
        <v>Granddaddy Purple</v>
      </c>
      <c r="B7" s="12" t="n">
        <f aca="false">Strains!F6/(Water!$B$5*(1+Fertiliser!$C$4))</f>
        <v>12</v>
      </c>
      <c r="C7" s="12" t="n">
        <f aca="false">Strains!F6/(Water!$B$4*(1+Fertiliser!$C$4))</f>
        <v>6</v>
      </c>
      <c r="D7" s="12" t="n">
        <f aca="false">Strains!F6/(Water!$B$4*(1+Fertiliser!$C$5))</f>
        <v>4.8</v>
      </c>
      <c r="E7" s="12" t="n">
        <f aca="false">Strains!F6/(Water!$B$4*(1+Fertiliser!$C$6))</f>
        <v>4</v>
      </c>
      <c r="F7" s="12" t="n">
        <f aca="false">Strains!F6/(Water!$B$4*(1+Fertiliser!$C$7))</f>
        <v>3</v>
      </c>
    </row>
    <row r="8" customFormat="false" ht="15" hidden="false" customHeight="true" outlineLevel="0" collapsed="false">
      <c r="A8" s="6" t="str">
        <f aca="false">Strains!A7</f>
        <v>Blue Dream</v>
      </c>
      <c r="B8" s="12" t="n">
        <f aca="false">Strains!F7/(Water!$B$5*(1+Fertiliser!$C$4))</f>
        <v>18</v>
      </c>
      <c r="C8" s="12" t="n">
        <f aca="false">Strains!F7/(Water!$B$4*(1+Fertiliser!$C$4))</f>
        <v>9</v>
      </c>
      <c r="D8" s="12" t="n">
        <f aca="false">Strains!F7/(Water!$B$4*(1+Fertiliser!$C$5))</f>
        <v>7.2</v>
      </c>
      <c r="E8" s="12" t="n">
        <f aca="false">Strains!F7/(Water!$B$4*(1+Fertiliser!$C$6))</f>
        <v>6</v>
      </c>
      <c r="F8" s="12" t="n">
        <f aca="false">Strains!F7/(Water!$B$4*(1+Fertiliser!$C$7))</f>
        <v>4.5</v>
      </c>
    </row>
    <row r="9" customFormat="false" ht="15" hidden="false" customHeight="true" outlineLevel="0" collapsed="false">
      <c r="A9" s="6" t="str">
        <f aca="false">Strains!A8</f>
        <v>Acapulco Gold</v>
      </c>
      <c r="B9" s="12" t="n">
        <f aca="false">Strains!F8/(Water!$B$5*(1+Fertiliser!$C$4))</f>
        <v>20</v>
      </c>
      <c r="C9" s="12" t="n">
        <f aca="false">Strains!F8/(Water!$B$4*(1+Fertiliser!$C$4))</f>
        <v>10</v>
      </c>
      <c r="D9" s="12" t="n">
        <f aca="false">Strains!F8/(Water!$B$4*(1+Fertiliser!$C$5))</f>
        <v>8</v>
      </c>
      <c r="E9" s="12" t="n">
        <f aca="false">Strains!F8/(Water!$B$4*(1+Fertiliser!$C$6))</f>
        <v>6.66666666666667</v>
      </c>
      <c r="F9" s="12" t="n">
        <f aca="false">Strains!F8/(Water!$B$4*(1+Fertiliser!$C$7))</f>
        <v>5</v>
      </c>
    </row>
    <row r="10" customFormat="false" ht="15" hidden="false" customHeight="true" outlineLevel="0" collapsed="false">
      <c r="A10" s="6" t="str">
        <f aca="false">Strains!A9</f>
        <v>White Widow</v>
      </c>
      <c r="B10" s="12" t="n">
        <f aca="false">Strains!F9/(Water!$B$5*(1+Fertiliser!$C$4))</f>
        <v>30</v>
      </c>
      <c r="C10" s="12" t="n">
        <f aca="false">Strains!F9/(Water!$B$4*(1+Fertiliser!$C$4))</f>
        <v>15</v>
      </c>
      <c r="D10" s="12" t="n">
        <f aca="false">Strains!F9/(Water!$B$4*(1+Fertiliser!$C$5))</f>
        <v>12</v>
      </c>
      <c r="E10" s="12" t="n">
        <f aca="false">Strains!F9/(Water!$B$4*(1+Fertiliser!$C$6))</f>
        <v>10</v>
      </c>
      <c r="F10" s="12" t="n">
        <f aca="false">Strains!F9/(Water!$B$4*(1+Fertiliser!$C$7))</f>
        <v>7.5</v>
      </c>
    </row>
    <row r="12" customFormat="false" ht="15" hidden="false" customHeight="true" outlineLevel="0" collapsed="false">
      <c r="A12" s="4" t="s">
        <v>71</v>
      </c>
    </row>
    <row r="13" customFormat="false" ht="31.5" hidden="false" customHeight="true" outlineLevel="0" collapsed="false">
      <c r="A13" s="5" t="s">
        <v>36</v>
      </c>
      <c r="B13" s="5" t="s">
        <v>66</v>
      </c>
      <c r="C13" s="5" t="s">
        <v>67</v>
      </c>
      <c r="D13" s="5" t="s">
        <v>68</v>
      </c>
      <c r="E13" s="5" t="s">
        <v>69</v>
      </c>
      <c r="F13" s="5" t="s">
        <v>70</v>
      </c>
    </row>
    <row r="14" customFormat="false" ht="15" hidden="false" customHeight="true" outlineLevel="0" collapsed="false">
      <c r="A14" s="6" t="str">
        <f aca="false">Strains!A4</f>
        <v>Northern Lights</v>
      </c>
      <c r="B14" s="13" t="n">
        <f aca="false">Strains!E4*(Strains!H4+Fertiliser!$D$4)/Strains!H4*(1+Fertiliser!$E$4*Fertiliser!$E$9)-Fertiliser!$B$4</f>
        <v>40</v>
      </c>
      <c r="C14" s="13" t="n">
        <f aca="false">Strains!E4*(Strains!H4+Fertiliser!$D$4)/Strains!H4*(1+Fertiliser!$E$4*Fertiliser!$E$9)-Fertiliser!$B$4</f>
        <v>40</v>
      </c>
      <c r="D14" s="13" t="n">
        <f aca="false">Strains!E4*(Strains!H4+Fertiliser!$D$5)/Strains!H4*(1+Fertiliser!$E$5*Fertiliser!$E$9)-Fertiliser!$B$5</f>
        <v>30</v>
      </c>
      <c r="E14" s="13" t="n">
        <f aca="false">Strains!E4*(Strains!H4+Fertiliser!$D$6)/Strains!H4*(1+Fertiliser!$E$6*Fertiliser!$E$9)-Fertiliser!$B$6</f>
        <v>23.3333333333333</v>
      </c>
      <c r="F14" s="13" t="n">
        <f aca="false">Strains!E4*(Strains!H4+Fertiliser!$D$7)/Strains!H4*(1+Fertiliser!$E$7*Fertiliser!$E$9)-Fertiliser!$B$7</f>
        <v>-18.6666666666667</v>
      </c>
    </row>
    <row r="15" customFormat="false" ht="15" hidden="false" customHeight="true" outlineLevel="0" collapsed="false">
      <c r="A15" s="6" t="str">
        <f aca="false">Strains!A5</f>
        <v>Sour Diesel</v>
      </c>
      <c r="B15" s="13" t="n">
        <f aca="false">Strains!E5*(Strains!H5+Fertiliser!$D$4)/Strains!H5*(1+Fertiliser!$E$4*Fertiliser!$E$9)-Fertiliser!$B$4</f>
        <v>75</v>
      </c>
      <c r="C15" s="13" t="n">
        <f aca="false">Strains!E5*(Strains!H5+Fertiliser!$D$4)/Strains!H5*(1+Fertiliser!$E$4*Fertiliser!$E$9)-Fertiliser!$B$4</f>
        <v>75</v>
      </c>
      <c r="D15" s="13" t="n">
        <f aca="false">Strains!E5*(Strains!H5+Fertiliser!$D$5)/Strains!H5*(1+Fertiliser!$E$5*Fertiliser!$E$9)-Fertiliser!$B$5</f>
        <v>65</v>
      </c>
      <c r="E15" s="13" t="n">
        <f aca="false">Strains!E5*(Strains!H5+Fertiliser!$D$6)/Strains!H5*(1+Fertiliser!$E$6*Fertiliser!$E$9)-Fertiliser!$B$6</f>
        <v>70</v>
      </c>
      <c r="F15" s="13" t="n">
        <f aca="false">Strains!E5*(Strains!H5+Fertiliser!$D$7)/Strains!H5*(1+Fertiliser!$E$7*Fertiliser!$E$9)-Fertiliser!$B$7</f>
        <v>35</v>
      </c>
    </row>
    <row r="16" customFormat="false" ht="15" hidden="false" customHeight="true" outlineLevel="0" collapsed="false">
      <c r="A16" s="6" t="str">
        <f aca="false">Strains!A6</f>
        <v>Granddaddy Purple</v>
      </c>
      <c r="B16" s="13" t="n">
        <f aca="false">Strains!E6*(Strains!H6+Fertiliser!$D$4)/Strains!H6*(1+Fertiliser!$E$4*Fertiliser!$E$9)-Fertiliser!$B$4</f>
        <v>80</v>
      </c>
      <c r="C16" s="13" t="n">
        <f aca="false">Strains!E6*(Strains!H6+Fertiliser!$D$4)/Strains!H6*(1+Fertiliser!$E$4*Fertiliser!$E$9)-Fertiliser!$B$4</f>
        <v>80</v>
      </c>
      <c r="D16" s="13" t="n">
        <f aca="false">Strains!E6*(Strains!H6+Fertiliser!$D$5)/Strains!H6*(1+Fertiliser!$E$5*Fertiliser!$E$9)-Fertiliser!$B$5</f>
        <v>70</v>
      </c>
      <c r="E16" s="13" t="n">
        <f aca="false">Strains!E6*(Strains!H6+Fertiliser!$D$6)/Strains!H6*(1+Fertiliser!$E$6*Fertiliser!$E$9)-Fertiliser!$B$6</f>
        <v>70</v>
      </c>
      <c r="F16" s="13" t="n">
        <f aca="false">Strains!E6*(Strains!H6+Fertiliser!$D$7)/Strains!H6*(1+Fertiliser!$E$7*Fertiliser!$E$9)-Fertiliser!$B$7</f>
        <v>35</v>
      </c>
    </row>
    <row r="17" customFormat="false" ht="15" hidden="false" customHeight="true" outlineLevel="0" collapsed="false">
      <c r="A17" s="6" t="str">
        <f aca="false">Strains!A7</f>
        <v>Blue Dream</v>
      </c>
      <c r="B17" s="13" t="n">
        <f aca="false">Strains!E7*(Strains!H7+Fertiliser!$D$4)/Strains!H7*(1+Fertiliser!$E$4*Fertiliser!$E$9)-Fertiliser!$B$4</f>
        <v>140</v>
      </c>
      <c r="C17" s="13" t="n">
        <f aca="false">Strains!E7*(Strains!H7+Fertiliser!$D$4)/Strains!H7*(1+Fertiliser!$E$4*Fertiliser!$E$9)-Fertiliser!$B$4</f>
        <v>140</v>
      </c>
      <c r="D17" s="13" t="n">
        <f aca="false">Strains!E7*(Strains!H7+Fertiliser!$D$5)/Strains!H7*(1+Fertiliser!$E$5*Fertiliser!$E$9)-Fertiliser!$B$5</f>
        <v>130</v>
      </c>
      <c r="E17" s="13" t="n">
        <f aca="false">Strains!E7*(Strains!H7+Fertiliser!$D$6)/Strains!H7*(1+Fertiliser!$E$6*Fertiliser!$E$9)-Fertiliser!$B$6</f>
        <v>156.666666666667</v>
      </c>
      <c r="F17" s="13" t="n">
        <f aca="false">Strains!E7*(Strains!H7+Fertiliser!$D$7)/Strains!H7*(1+Fertiliser!$E$7*Fertiliser!$E$9)-Fertiliser!$B$7</f>
        <v>134.666666666667</v>
      </c>
    </row>
    <row r="18" customFormat="false" ht="15" hidden="false" customHeight="true" outlineLevel="0" collapsed="false">
      <c r="A18" s="6" t="str">
        <f aca="false">Strains!A8</f>
        <v>Acapulco Gold</v>
      </c>
      <c r="B18" s="13" t="n">
        <f aca="false">Strains!E8*(Strains!H8+Fertiliser!$D$4)/Strains!H8*(1+Fertiliser!$E$4*Fertiliser!$E$9)-Fertiliser!$B$4</f>
        <v>150</v>
      </c>
      <c r="C18" s="13" t="n">
        <f aca="false">Strains!E8*(Strains!H8+Fertiliser!$D$4)/Strains!H8*(1+Fertiliser!$E$4*Fertiliser!$E$9)-Fertiliser!$B$4</f>
        <v>150</v>
      </c>
      <c r="D18" s="13" t="n">
        <f aca="false">Strains!E8*(Strains!H8+Fertiliser!$D$5)/Strains!H8*(1+Fertiliser!$E$5*Fertiliser!$E$9)-Fertiliser!$B$5</f>
        <v>140</v>
      </c>
      <c r="E18" s="13" t="n">
        <f aca="false">Strains!E8*(Strains!H8+Fertiliser!$D$6)/Strains!H8*(1+Fertiliser!$E$6*Fertiliser!$E$9)-Fertiliser!$B$6</f>
        <v>195</v>
      </c>
      <c r="F18" s="13" t="n">
        <f aca="false">Strains!E8*(Strains!H8+Fertiliser!$D$7)/Strains!H8*(1+Fertiliser!$E$7*Fertiliser!$E$9)-Fertiliser!$B$7</f>
        <v>178.75</v>
      </c>
    </row>
    <row r="19" customFormat="false" ht="15" hidden="false" customHeight="true" outlineLevel="0" collapsed="false">
      <c r="A19" s="6" t="str">
        <f aca="false">Strains!A9</f>
        <v>White Widow</v>
      </c>
      <c r="B19" s="13" t="n">
        <f aca="false">Strains!E9*(Strains!H9+Fertiliser!$D$4)/Strains!H9*(1+Fertiliser!$E$4*Fertiliser!$E$9)-Fertiliser!$B$4</f>
        <v>300</v>
      </c>
      <c r="C19" s="13" t="n">
        <f aca="false">Strains!E9*(Strains!H9+Fertiliser!$D$4)/Strains!H9*(1+Fertiliser!$E$4*Fertiliser!$E$9)-Fertiliser!$B$4</f>
        <v>300</v>
      </c>
      <c r="D19" s="13" t="n">
        <f aca="false">Strains!E9*(Strains!H9+Fertiliser!$D$5)/Strains!H9*(1+Fertiliser!$E$5*Fertiliser!$E$9)-Fertiliser!$B$5</f>
        <v>290</v>
      </c>
      <c r="E19" s="13" t="n">
        <f aca="false">Strains!E9*(Strains!H9+Fertiliser!$D$6)/Strains!H9*(1+Fertiliser!$E$6*Fertiliser!$E$9)-Fertiliser!$B$6</f>
        <v>420</v>
      </c>
      <c r="F19" s="13" t="n">
        <f aca="false">Strains!E9*(Strains!H9+Fertiliser!$D$7)/Strains!H9*(1+Fertiliser!$E$7*Fertiliser!$E$9)-Fertiliser!$B$7</f>
        <v>437.5</v>
      </c>
    </row>
    <row r="21" customFormat="false" ht="15" hidden="false" customHeight="true" outlineLevel="0" collapsed="false">
      <c r="A21" s="4" t="s">
        <v>72</v>
      </c>
    </row>
    <row r="22" customFormat="false" ht="31.5" hidden="false" customHeight="true" outlineLevel="0" collapsed="false">
      <c r="A22" s="5" t="s">
        <v>36</v>
      </c>
      <c r="B22" s="5" t="s">
        <v>66</v>
      </c>
      <c r="C22" s="5" t="s">
        <v>67</v>
      </c>
      <c r="D22" s="5" t="s">
        <v>68</v>
      </c>
      <c r="E22" s="5" t="s">
        <v>69</v>
      </c>
      <c r="F22" s="5" t="s">
        <v>70</v>
      </c>
    </row>
    <row r="23" customFormat="false" ht="15" hidden="false" customHeight="true" outlineLevel="0" collapsed="false">
      <c r="A23" s="6" t="str">
        <f aca="false">A5</f>
        <v>Northern Lights</v>
      </c>
      <c r="B23" s="14" t="n">
        <f aca="false">IFERROR(B14/B5,0)</f>
        <v>5</v>
      </c>
      <c r="C23" s="14" t="n">
        <f aca="false">IFERROR(C14/C5,0)</f>
        <v>10</v>
      </c>
      <c r="D23" s="14" t="n">
        <f aca="false">IFERROR(D14/D5,0)</f>
        <v>9.375</v>
      </c>
      <c r="E23" s="14" t="n">
        <f aca="false">IFERROR(E14/E5,0)</f>
        <v>8.75</v>
      </c>
      <c r="F23" s="14" t="n">
        <f aca="false">IFERROR(F14/F5,0)</f>
        <v>-9.33333333333334</v>
      </c>
    </row>
    <row r="24" customFormat="false" ht="15" hidden="false" customHeight="true" outlineLevel="0" collapsed="false">
      <c r="A24" s="6" t="str">
        <f aca="false">A6</f>
        <v>Sour Diesel</v>
      </c>
      <c r="B24" s="14" t="n">
        <f aca="false">IFERROR(B15/B6,0)</f>
        <v>6.25</v>
      </c>
      <c r="C24" s="14" t="n">
        <f aca="false">IFERROR(C15/C6,0)</f>
        <v>12.5</v>
      </c>
      <c r="D24" s="14" t="n">
        <f aca="false">IFERROR(D15/D6,0)</f>
        <v>13.5416666666667</v>
      </c>
      <c r="E24" s="14" t="n">
        <f aca="false">IFERROR(E15/E6,0)</f>
        <v>17.5</v>
      </c>
      <c r="F24" s="14" t="n">
        <f aca="false">IFERROR(F15/F6,0)</f>
        <v>11.6666666666667</v>
      </c>
    </row>
    <row r="25" customFormat="false" ht="15" hidden="false" customHeight="true" outlineLevel="0" collapsed="false">
      <c r="A25" s="6" t="str">
        <f aca="false">A7</f>
        <v>Granddaddy Purple</v>
      </c>
      <c r="B25" s="14" t="n">
        <f aca="false">IFERROR(B16/B7,0)</f>
        <v>6.66666666666667</v>
      </c>
      <c r="C25" s="14" t="n">
        <f aca="false">IFERROR(C16/C7,0)</f>
        <v>13.3333333333333</v>
      </c>
      <c r="D25" s="14" t="n">
        <f aca="false">IFERROR(D16/D7,0)</f>
        <v>14.5833333333333</v>
      </c>
      <c r="E25" s="14" t="n">
        <f aca="false">IFERROR(E16/E7,0)</f>
        <v>17.5</v>
      </c>
      <c r="F25" s="14" t="n">
        <f aca="false">IFERROR(F16/F7,0)</f>
        <v>11.6666666666667</v>
      </c>
    </row>
    <row r="26" customFormat="false" ht="15" hidden="false" customHeight="true" outlineLevel="0" collapsed="false">
      <c r="A26" s="6" t="str">
        <f aca="false">A8</f>
        <v>Blue Dream</v>
      </c>
      <c r="B26" s="14" t="n">
        <f aca="false">IFERROR(B17/B8,0)</f>
        <v>7.77777777777778</v>
      </c>
      <c r="C26" s="14" t="n">
        <f aca="false">IFERROR(C17/C8,0)</f>
        <v>15.5555555555556</v>
      </c>
      <c r="D26" s="14" t="n">
        <f aca="false">IFERROR(D17/D8,0)</f>
        <v>18.0555555555556</v>
      </c>
      <c r="E26" s="14" t="n">
        <f aca="false">IFERROR(E17/E8,0)</f>
        <v>26.1111111111111</v>
      </c>
      <c r="F26" s="14" t="n">
        <f aca="false">IFERROR(F17/F8,0)</f>
        <v>29.9259259259259</v>
      </c>
    </row>
    <row r="27" customFormat="false" ht="15" hidden="false" customHeight="true" outlineLevel="0" collapsed="false">
      <c r="A27" s="6" t="str">
        <f aca="false">A9</f>
        <v>Acapulco Gold</v>
      </c>
      <c r="B27" s="14" t="n">
        <f aca="false">IFERROR(B18/B9,0)</f>
        <v>7.5</v>
      </c>
      <c r="C27" s="14" t="n">
        <f aca="false">IFERROR(C18/C9,0)</f>
        <v>15</v>
      </c>
      <c r="D27" s="14" t="n">
        <f aca="false">IFERROR(D18/D9,0)</f>
        <v>17.5</v>
      </c>
      <c r="E27" s="14" t="n">
        <f aca="false">IFERROR(E18/E9,0)</f>
        <v>29.25</v>
      </c>
      <c r="F27" s="14" t="n">
        <f aca="false">IFERROR(F18/F9,0)</f>
        <v>35.75</v>
      </c>
    </row>
    <row r="28" customFormat="false" ht="15" hidden="false" customHeight="true" outlineLevel="0" collapsed="false">
      <c r="A28" s="6" t="str">
        <f aca="false">A10</f>
        <v>White Widow</v>
      </c>
      <c r="B28" s="14" t="n">
        <f aca="false">IFERROR(B19/B10,0)</f>
        <v>10</v>
      </c>
      <c r="C28" s="14" t="n">
        <f aca="false">IFERROR(C19/C10,0)</f>
        <v>20</v>
      </c>
      <c r="D28" s="14" t="n">
        <f aca="false">IFERROR(D19/D10,0)</f>
        <v>24.1666666666667</v>
      </c>
      <c r="E28" s="14" t="n">
        <f aca="false">IFERROR(E19/E10,0)</f>
        <v>42</v>
      </c>
      <c r="F28" s="14" t="n">
        <f aca="false">IFERROR(F19/F10,0)</f>
        <v>58.3333333333333</v>
      </c>
    </row>
    <row r="30" customFormat="false" ht="15" hidden="false" customHeight="true" outlineLevel="0" collapsed="false">
      <c r="A30" s="4" t="s">
        <v>73</v>
      </c>
    </row>
    <row r="31" customFormat="false" ht="15" hidden="false" customHeight="true" outlineLevel="0" collapsed="false">
      <c r="A31" s="3" t="s">
        <v>74</v>
      </c>
    </row>
    <row r="32" customFormat="false" ht="15" hidden="false" customHeight="true" outlineLevel="0" collapsed="false">
      <c r="A32" s="3" t="s">
        <v>75</v>
      </c>
    </row>
    <row r="33" customFormat="false" ht="15" hidden="false" customHeight="true" outlineLevel="0" collapsed="false">
      <c r="A33" s="3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5" t="s">
        <v>77</v>
      </c>
    </row>
    <row r="2" customFormat="false" ht="15" hidden="false" customHeight="false" outlineLevel="0" collapsed="false">
      <c r="A2" s="16" t="s">
        <v>78</v>
      </c>
    </row>
    <row r="4" customFormat="false" ht="15" hidden="false" customHeight="false" outlineLevel="0" collapsed="false">
      <c r="A4" s="17" t="s">
        <v>79</v>
      </c>
    </row>
    <row r="5" customFormat="false" ht="15" hidden="false" customHeight="false" outlineLevel="0" collapsed="false">
      <c r="A5" s="18" t="s">
        <v>80</v>
      </c>
      <c r="B5" s="19" t="n">
        <v>1</v>
      </c>
    </row>
    <row r="6" customFormat="false" ht="15" hidden="false" customHeight="false" outlineLevel="0" collapsed="false">
      <c r="A6" s="18" t="s">
        <v>81</v>
      </c>
      <c r="B6" s="20" t="n">
        <v>0.05</v>
      </c>
    </row>
    <row r="7" customFormat="false" ht="15" hidden="false" customHeight="false" outlineLevel="0" collapsed="false">
      <c r="A7" s="18" t="s">
        <v>82</v>
      </c>
      <c r="B7" s="20" t="n">
        <v>0.5</v>
      </c>
    </row>
    <row r="9" customFormat="false" ht="15" hidden="false" customHeight="false" outlineLevel="0" collapsed="false">
      <c r="A9" s="17" t="s">
        <v>83</v>
      </c>
    </row>
    <row r="10" customFormat="false" ht="15" hidden="false" customHeight="false" outlineLevel="0" collapsed="false">
      <c r="A10" s="5" t="s">
        <v>84</v>
      </c>
      <c r="B10" s="5" t="s">
        <v>26</v>
      </c>
    </row>
    <row r="11" customFormat="false" ht="15" hidden="false" customHeight="false" outlineLevel="0" collapsed="false">
      <c r="A11" s="18" t="s">
        <v>45</v>
      </c>
      <c r="B11" s="21" t="n">
        <v>10</v>
      </c>
    </row>
    <row r="12" customFormat="false" ht="15" hidden="false" customHeight="false" outlineLevel="0" collapsed="false">
      <c r="A12" s="18" t="s">
        <v>49</v>
      </c>
      <c r="B12" s="21" t="n">
        <v>30</v>
      </c>
    </row>
    <row r="14" customFormat="false" ht="15" hidden="false" customHeight="false" outlineLevel="0" collapsed="false">
      <c r="A14" s="17" t="s">
        <v>85</v>
      </c>
    </row>
    <row r="15" customFormat="false" ht="31.5" hidden="false" customHeight="true" outlineLevel="0" collapsed="false">
      <c r="A15" s="5" t="s">
        <v>86</v>
      </c>
      <c r="B15" s="5" t="s">
        <v>87</v>
      </c>
      <c r="C15" s="5" t="s">
        <v>88</v>
      </c>
      <c r="D15" s="5" t="s">
        <v>38</v>
      </c>
      <c r="E15" s="5" t="s">
        <v>89</v>
      </c>
      <c r="F15" s="5" t="s">
        <v>90</v>
      </c>
      <c r="G15" s="5" t="s">
        <v>40</v>
      </c>
    </row>
    <row r="16" customFormat="false" ht="15" hidden="false" customHeight="false" outlineLevel="0" collapsed="false">
      <c r="A16" s="22" t="s">
        <v>45</v>
      </c>
      <c r="B16" s="22" t="s">
        <v>45</v>
      </c>
      <c r="C16" s="18" t="s">
        <v>53</v>
      </c>
      <c r="D16" s="22" t="str">
        <f aca="false">Strains!C6</f>
        <v>Uncommon</v>
      </c>
      <c r="E16" s="22" t="s">
        <v>91</v>
      </c>
      <c r="F16" s="23" t="n">
        <f aca="false">2*B11</f>
        <v>20</v>
      </c>
      <c r="G16" s="23" t="n">
        <f aca="false">Strains!E6</f>
        <v>80</v>
      </c>
    </row>
    <row r="17" customFormat="false" ht="15" hidden="false" customHeight="false" outlineLevel="0" collapsed="false">
      <c r="A17" s="22" t="s">
        <v>49</v>
      </c>
      <c r="B17" s="22" t="s">
        <v>49</v>
      </c>
      <c r="C17" s="18" t="s">
        <v>59</v>
      </c>
      <c r="D17" s="22" t="str">
        <f aca="false">Strains!C8</f>
        <v>Rare</v>
      </c>
      <c r="E17" s="22" t="s">
        <v>92</v>
      </c>
      <c r="F17" s="23" t="n">
        <f aca="false">2*B12</f>
        <v>60</v>
      </c>
      <c r="G17" s="23" t="n">
        <f aca="false">Strains!E8</f>
        <v>150</v>
      </c>
    </row>
    <row r="18" customFormat="false" ht="15" hidden="false" customHeight="false" outlineLevel="0" collapsed="false">
      <c r="A18" s="22" t="s">
        <v>53</v>
      </c>
      <c r="B18" s="22" t="s">
        <v>49</v>
      </c>
      <c r="C18" s="18" t="s">
        <v>55</v>
      </c>
      <c r="D18" s="22" t="str">
        <f aca="false">Strains!C7</f>
        <v>Rare</v>
      </c>
      <c r="E18" s="22" t="s">
        <v>93</v>
      </c>
      <c r="F18" s="23" t="n">
        <f aca="false">F16+B12</f>
        <v>50</v>
      </c>
      <c r="G18" s="23" t="n">
        <f aca="false">Strains!E7</f>
        <v>140</v>
      </c>
    </row>
    <row r="19" customFormat="false" ht="15" hidden="false" customHeight="false" outlineLevel="0" collapsed="false">
      <c r="A19" s="22" t="s">
        <v>55</v>
      </c>
      <c r="B19" s="22" t="s">
        <v>59</v>
      </c>
      <c r="C19" s="18" t="s">
        <v>61</v>
      </c>
      <c r="D19" s="22" t="str">
        <f aca="false">Strains!C9</f>
        <v>Legendary</v>
      </c>
      <c r="E19" s="22" t="s">
        <v>94</v>
      </c>
      <c r="F19" s="23" t="n">
        <f aca="false">F18+F17</f>
        <v>110</v>
      </c>
      <c r="G19" s="23" t="n">
        <f aca="false">Strains!E9</f>
        <v>300</v>
      </c>
    </row>
    <row r="21" customFormat="false" ht="15" hidden="false" customHeight="false" outlineLevel="0" collapsed="false">
      <c r="A21" s="17" t="s">
        <v>95</v>
      </c>
    </row>
    <row r="22" customFormat="false" ht="26.85" hidden="false" customHeight="false" outlineLevel="0" collapsed="false">
      <c r="A22" s="5" t="s">
        <v>36</v>
      </c>
      <c r="B22" s="5" t="s">
        <v>96</v>
      </c>
    </row>
    <row r="23" customFormat="false" ht="15" hidden="false" customHeight="false" outlineLevel="0" collapsed="false">
      <c r="A23" s="18" t="s">
        <v>45</v>
      </c>
      <c r="B23" s="24" t="n">
        <v>1</v>
      </c>
    </row>
    <row r="24" customFormat="false" ht="15" hidden="false" customHeight="false" outlineLevel="0" collapsed="false">
      <c r="A24" s="18" t="s">
        <v>53</v>
      </c>
      <c r="B24" s="24" t="n">
        <f aca="false">2*B23</f>
        <v>2</v>
      </c>
    </row>
    <row r="25" customFormat="false" ht="15" hidden="false" customHeight="false" outlineLevel="0" collapsed="false">
      <c r="A25" s="18" t="s">
        <v>97</v>
      </c>
      <c r="B25" s="24" t="n">
        <f aca="false">2*B24</f>
        <v>4</v>
      </c>
    </row>
    <row r="26" customFormat="false" ht="15" hidden="false" customHeight="false" outlineLevel="0" collapsed="false">
      <c r="A26" s="18" t="s">
        <v>98</v>
      </c>
      <c r="B26" s="24" t="n">
        <f aca="false">2*B25</f>
        <v>8</v>
      </c>
    </row>
    <row r="28" customFormat="false" ht="15" hidden="false" customHeight="false" outlineLevel="0" collapsed="false">
      <c r="A28" s="17" t="s">
        <v>73</v>
      </c>
    </row>
    <row r="29" customFormat="false" ht="15" hidden="false" customHeight="false" outlineLevel="0" collapsed="false">
      <c r="A29" s="16" t="s">
        <v>99</v>
      </c>
    </row>
    <row r="30" customFormat="false" ht="15" hidden="false" customHeight="false" outlineLevel="0" collapsed="false">
      <c r="A30" s="16" t="s">
        <v>100</v>
      </c>
    </row>
    <row r="31" customFormat="false" ht="15" hidden="false" customHeight="false" outlineLevel="0" collapsed="false">
      <c r="A31" s="16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3" min="3" style="1" width="50"/>
    <col collapsed="false" customWidth="true" hidden="false" outlineLevel="0" max="4" min="4" style="1" width="12"/>
  </cols>
  <sheetData>
    <row r="1" customFormat="false" ht="17.25" hidden="false" customHeight="true" outlineLevel="0" collapsed="false">
      <c r="A1" s="2" t="s">
        <v>102</v>
      </c>
    </row>
    <row r="3" customFormat="false" ht="15" hidden="false" customHeight="true" outlineLevel="0" collapsed="false">
      <c r="A3" s="5" t="s">
        <v>103</v>
      </c>
      <c r="B3" s="5" t="s">
        <v>104</v>
      </c>
      <c r="C3" s="5" t="s">
        <v>105</v>
      </c>
      <c r="D3" s="5" t="s">
        <v>26</v>
      </c>
    </row>
    <row r="4" customFormat="false" ht="15" hidden="false" customHeight="true" outlineLevel="0" collapsed="false">
      <c r="A4" s="6" t="s">
        <v>106</v>
      </c>
      <c r="B4" s="9" t="s">
        <v>107</v>
      </c>
      <c r="C4" s="9" t="s">
        <v>108</v>
      </c>
      <c r="D4" s="11"/>
    </row>
    <row r="5" customFormat="false" ht="15" hidden="false" customHeight="true" outlineLevel="0" collapsed="false">
      <c r="A5" s="6" t="s">
        <v>109</v>
      </c>
      <c r="B5" s="9" t="s">
        <v>110</v>
      </c>
      <c r="C5" s="9" t="s">
        <v>111</v>
      </c>
      <c r="D5" s="11"/>
    </row>
    <row r="6" customFormat="false" ht="15" hidden="false" customHeight="true" outlineLevel="0" collapsed="false">
      <c r="A6" s="6" t="s">
        <v>112</v>
      </c>
      <c r="B6" s="9" t="s">
        <v>113</v>
      </c>
      <c r="C6" s="9" t="s">
        <v>114</v>
      </c>
      <c r="D6" s="11"/>
    </row>
    <row r="8" customFormat="false" ht="15" hidden="false" customHeight="true" outlineLevel="0" collapsed="false">
      <c r="A8" s="3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2026-10-17T06:15:12Z</dcterms:created>
  <dc:creator>openpyxl</dc:creator>
  <dc:description/>
  <dc:language>en-US</dc:language>
  <cp:lastModifiedBy/>
  <dcterms:modified xsi:type="dcterms:W3CDTF">2026-10-17T06:17:54Z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